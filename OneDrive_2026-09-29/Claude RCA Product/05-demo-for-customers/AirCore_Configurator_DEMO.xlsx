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3" documentId="11_A771AC3789FFCB3CC305F901BBA3E9EAF010E93C" xr6:coauthVersionLast="47" xr6:coauthVersionMax="47" xr10:uidLastSave="{7886AC1C-C4CF-485C-895F-3EC8AFA43523}"/>
  <bookViews>
    <workbookView xWindow="0" yWindow="0" windowWidth="16384" windowHeight="8192" tabRatio="500" xr2:uid="{00000000-000D-0000-FFFF-FFFF00000000}"/>
  </bookViews>
  <sheets>
    <sheet name="Input" sheetId="1" r:id="rId1"/>
    <sheet name="Reference" sheetId="2" r:id="rId2"/>
    <sheet name="Validation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/>
  <c r="C10" i="3"/>
  <c r="C9" i="3"/>
  <c r="C8" i="3"/>
  <c r="C7" i="3"/>
  <c r="C6" i="3"/>
  <c r="C5" i="3"/>
  <c r="C4" i="3"/>
  <c r="C17" i="3" s="1"/>
  <c r="C32" i="1"/>
  <c r="C29" i="1"/>
  <c r="C28" i="1"/>
  <c r="C27" i="1"/>
  <c r="C26" i="1"/>
  <c r="C25" i="1"/>
  <c r="C24" i="1"/>
  <c r="C23" i="1"/>
  <c r="C22" i="1"/>
  <c r="C21" i="1"/>
  <c r="C20" i="1"/>
  <c r="D10" i="1"/>
  <c r="D8" i="1"/>
  <c r="D7" i="1"/>
  <c r="D6" i="1"/>
</calcChain>
</file>

<file path=xl/sharedStrings.xml><?xml version="1.0" encoding="utf-8"?>
<sst xmlns="http://schemas.openxmlformats.org/spreadsheetml/2006/main" count="198" uniqueCount="160">
  <si>
    <t>AirCore Natural Ventilation Unit — Configurator (DEMO)</t>
  </si>
  <si>
    <t>Fictional product &amp; data for demonstration purposes — Meridian Building Systems (DEMO)</t>
  </si>
  <si>
    <t>CONFIGURATION</t>
  </si>
  <si>
    <t>Selection</t>
  </si>
  <si>
    <t>Resolved</t>
  </si>
  <si>
    <t>Version</t>
  </si>
  <si>
    <t>Standard</t>
  </si>
  <si>
    <t>Width</t>
  </si>
  <si>
    <t>W12</t>
  </si>
  <si>
    <t>Length</t>
  </si>
  <si>
    <t>L15</t>
  </si>
  <si>
    <t>Panel type</t>
  </si>
  <si>
    <t>PC-16</t>
  </si>
  <si>
    <t>Control</t>
  </si>
  <si>
    <t>Pneumatic</t>
  </si>
  <si>
    <t>Release</t>
  </si>
  <si>
    <t>R68</t>
  </si>
  <si>
    <t>Insulation</t>
  </si>
  <si>
    <t>None</t>
  </si>
  <si>
    <t>Base type</t>
  </si>
  <si>
    <t>Flat</t>
  </si>
  <si>
    <t>Guards</t>
  </si>
  <si>
    <t>Finish</t>
  </si>
  <si>
    <t>Mill</t>
  </si>
  <si>
    <t>Mounting</t>
  </si>
  <si>
    <t>Roof</t>
  </si>
  <si>
    <t>Lifting points</t>
  </si>
  <si>
    <t>No</t>
  </si>
  <si>
    <t>CALCULATED OUTPUTS</t>
  </si>
  <si>
    <t>Value</t>
  </si>
  <si>
    <t>Unit</t>
  </si>
  <si>
    <t>Number of panels</t>
  </si>
  <si>
    <t>panels</t>
  </si>
  <si>
    <t>Geometric area Av</t>
  </si>
  <si>
    <t>m2</t>
  </si>
  <si>
    <t>Free area Aa</t>
  </si>
  <si>
    <t>Release temperature</t>
  </si>
  <si>
    <t>deg C</t>
  </si>
  <si>
    <t>Snow load rating</t>
  </si>
  <si>
    <t>N/m2</t>
  </si>
  <si>
    <t>Wind load rating</t>
  </si>
  <si>
    <t>Actuation pressure</t>
  </si>
  <si>
    <t>bar</t>
  </si>
  <si>
    <t>Gas cartridge</t>
  </si>
  <si>
    <t>size</t>
  </si>
  <si>
    <t>U-value</t>
  </si>
  <si>
    <t>W/(m2K)</t>
  </si>
  <si>
    <t>Estimated weight</t>
  </si>
  <si>
    <t>kg</t>
  </si>
  <si>
    <t>CONFIGURATION VALID?</t>
  </si>
  <si>
    <t>See Validation tab for rule detail</t>
  </si>
  <si>
    <t>Legend:</t>
  </si>
  <si>
    <t>Yellow = you edit</t>
  </si>
  <si>
    <t>Green = calculated</t>
  </si>
  <si>
    <t>AirCore — Reference Tables (codes, labels, dimensions)</t>
  </si>
  <si>
    <t>WIDTH</t>
  </si>
  <si>
    <t>LENGTH</t>
  </si>
  <si>
    <t>PANEL TYPE</t>
  </si>
  <si>
    <t>RELEASE</t>
  </si>
  <si>
    <t>U-VALUE  W/(m2K)</t>
  </si>
  <si>
    <t>Code</t>
  </si>
  <si>
    <t>mm</t>
  </si>
  <si>
    <t>Label</t>
  </si>
  <si>
    <t>Cv</t>
  </si>
  <si>
    <t>TempC</t>
  </si>
  <si>
    <t>Panel</t>
  </si>
  <si>
    <t>Uncov</t>
  </si>
  <si>
    <t>Insul</t>
  </si>
  <si>
    <t>W04</t>
  </si>
  <si>
    <t>400 mm</t>
  </si>
  <si>
    <t>L06</t>
  </si>
  <si>
    <t>600 mm</t>
  </si>
  <si>
    <t>ALU-S</t>
  </si>
  <si>
    <t>Single-skin aluminium</t>
  </si>
  <si>
    <t>RX</t>
  </si>
  <si>
    <t>No thermal release</t>
  </si>
  <si>
    <t>W06</t>
  </si>
  <si>
    <t>L09</t>
  </si>
  <si>
    <t>900 mm</t>
  </si>
  <si>
    <t>ALU-D</t>
  </si>
  <si>
    <t>Double-skin aluminium</t>
  </si>
  <si>
    <t>Thermal release 68 °C</t>
  </si>
  <si>
    <t>W08</t>
  </si>
  <si>
    <t>800 mm</t>
  </si>
  <si>
    <t>L12</t>
  </si>
  <si>
    <t>1200 mm</t>
  </si>
  <si>
    <t>ALU-I</t>
  </si>
  <si>
    <t>Insulated aluminium</t>
  </si>
  <si>
    <t>R93</t>
  </si>
  <si>
    <t>Thermal release 93 °C</t>
  </si>
  <si>
    <t>W10</t>
  </si>
  <si>
    <t>1000 mm</t>
  </si>
  <si>
    <t>1500 mm</t>
  </si>
  <si>
    <t>PC-10</t>
  </si>
  <si>
    <t>10 mm polycarbonate, clear</t>
  </si>
  <si>
    <t>R141</t>
  </si>
  <si>
    <t>Thermal release 141 °C</t>
  </si>
  <si>
    <t>L18</t>
  </si>
  <si>
    <t>1800 mm</t>
  </si>
  <si>
    <t>16 mm polycarbonate, opal</t>
  </si>
  <si>
    <t>R182</t>
  </si>
  <si>
    <t>Thermal release 182 °C</t>
  </si>
  <si>
    <t>W14</t>
  </si>
  <si>
    <t>1400 mm</t>
  </si>
  <si>
    <t>L21</t>
  </si>
  <si>
    <t>2100 mm</t>
  </si>
  <si>
    <t>GLS-T</t>
  </si>
  <si>
    <t>Toughened glass</t>
  </si>
  <si>
    <t>W16</t>
  </si>
  <si>
    <t>1600 mm</t>
  </si>
  <si>
    <t>L24</t>
  </si>
  <si>
    <t>2400 mm</t>
  </si>
  <si>
    <t>GLS-L</t>
  </si>
  <si>
    <t>Laminated glass</t>
  </si>
  <si>
    <t>W18</t>
  </si>
  <si>
    <t>L27</t>
  </si>
  <si>
    <t>2700 mm</t>
  </si>
  <si>
    <t>W20</t>
  </si>
  <si>
    <t>2000 mm</t>
  </si>
  <si>
    <t>L30</t>
  </si>
  <si>
    <t>3000 mm</t>
  </si>
  <si>
    <t>W22</t>
  </si>
  <si>
    <t>2200 mm</t>
  </si>
  <si>
    <t>L33</t>
  </si>
  <si>
    <t>3300 mm</t>
  </si>
  <si>
    <t>L36</t>
  </si>
  <si>
    <t>3600 mm</t>
  </si>
  <si>
    <t>OPTION LISTS</t>
  </si>
  <si>
    <t>BaseType</t>
  </si>
  <si>
    <t>Lifting</t>
  </si>
  <si>
    <t>Manual</t>
  </si>
  <si>
    <t>Premium</t>
  </si>
  <si>
    <t>Insulated</t>
  </si>
  <si>
    <t>Upstand150</t>
  </si>
  <si>
    <t>InsectMesh</t>
  </si>
  <si>
    <t>PowderCoat</t>
  </si>
  <si>
    <t>Wall</t>
  </si>
  <si>
    <t>Yes</t>
  </si>
  <si>
    <t>FireRated</t>
  </si>
  <si>
    <t>Electric24V</t>
  </si>
  <si>
    <t>Upstand300</t>
  </si>
  <si>
    <t>BirdGuard</t>
  </si>
  <si>
    <t>Electric230V</t>
  </si>
  <si>
    <t>AirCore — Configuration Validation Rules</t>
  </si>
  <si>
    <t>#</t>
  </si>
  <si>
    <t>Rule</t>
  </si>
  <si>
    <t>Valid?</t>
  </si>
  <si>
    <t>Guards are only available on the Premium version</t>
  </si>
  <si>
    <t>Insulated panels (ALU-I) require the Insulated option</t>
  </si>
  <si>
    <t>Insulation is only available with ALU-I, PC-16 or GLS-L panels</t>
  </si>
  <si>
    <t>Fire-rated version requires a thermal release (not RX)</t>
  </si>
  <si>
    <t>Wall mounting is not available on the Fire-rated version</t>
  </si>
  <si>
    <t>Upstand bases are not used for Wall mounting</t>
  </si>
  <si>
    <t>Glass panels (GLS-*) are not available above width 1800 mm</t>
  </si>
  <si>
    <t>Manual control is not available on width 2000 mm or above</t>
  </si>
  <si>
    <t>PowderCoat finish is only available on the Premium version</t>
  </si>
  <si>
    <t>Lifting points require length 2400 mm or above</t>
  </si>
  <si>
    <t>Electric 230V control is not available on the Standard version</t>
  </si>
  <si>
    <t>Bird guard requires an upstand base</t>
  </si>
  <si>
    <t>ALL RULES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</si>
</sst>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rgb="FF006100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3" fillId="6" borderId="0" xfId="0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Normal="100" workbookViewId="0">
      <selection activeCell="D12" sqref="D12"/>
    </sheetView>
  </sheetViews>
  <sheetFormatPr defaultColWidth="8.7109375" defaultRowHeight="15"/>
  <cols>
    <col min="1" max="1" width="22" customWidth="1"/>
    <col min="2" max="2" width="4" customWidth="1"/>
    <col min="3" max="3" width="16" customWidth="1"/>
    <col min="4" max="4" width="30" customWidth="1"/>
  </cols>
  <sheetData>
    <row r="1" spans="1:4" ht="19.7">
      <c r="A1" s="1" t="s">
        <v>0</v>
      </c>
    </row>
    <row r="2" spans="1:4">
      <c r="A2" s="2" t="s">
        <v>1</v>
      </c>
    </row>
    <row r="4" spans="1:4">
      <c r="A4" s="3" t="s">
        <v>2</v>
      </c>
      <c r="B4" s="4"/>
      <c r="C4" s="5" t="s">
        <v>3</v>
      </c>
      <c r="D4" s="5" t="s">
        <v>4</v>
      </c>
    </row>
    <row r="5" spans="1:4">
      <c r="A5" s="6" t="s">
        <v>5</v>
      </c>
      <c r="C5" s="7" t="s">
        <v>6</v>
      </c>
      <c r="D5" s="8"/>
    </row>
    <row r="6" spans="1:4">
      <c r="A6" s="6" t="s">
        <v>7</v>
      </c>
      <c r="C6" s="7" t="s">
        <v>8</v>
      </c>
      <c r="D6" s="9" t="str">
        <f>VLOOKUP(C6,Reference!$A$5:$C$14,3,FALSE())</f>
        <v>1200 mm</v>
      </c>
    </row>
    <row r="7" spans="1:4">
      <c r="A7" s="6" t="s">
        <v>9</v>
      </c>
      <c r="C7" s="7" t="s">
        <v>10</v>
      </c>
      <c r="D7" s="9" t="str">
        <f>VLOOKUP(C7,Reference!$E$5:$G$15,3,FALSE())</f>
        <v>1500 mm</v>
      </c>
    </row>
    <row r="8" spans="1:4">
      <c r="A8" s="6" t="s">
        <v>11</v>
      </c>
      <c r="C8" s="7" t="s">
        <v>12</v>
      </c>
      <c r="D8" s="9" t="str">
        <f>VLOOKUP(C8,Reference!$I$5:$K$11,3,FALSE())</f>
        <v>16 mm polycarbonate, opal</v>
      </c>
    </row>
    <row r="9" spans="1:4">
      <c r="A9" s="6" t="s">
        <v>13</v>
      </c>
      <c r="C9" s="7" t="s">
        <v>14</v>
      </c>
      <c r="D9" s="8"/>
    </row>
    <row r="10" spans="1:4">
      <c r="A10" s="6" t="s">
        <v>15</v>
      </c>
      <c r="C10" s="7" t="s">
        <v>16</v>
      </c>
      <c r="D10" s="9" t="str">
        <f>VLOOKUP(C10,Reference!$M$5:$O$9,3,FALSE())</f>
        <v>Thermal release 68 °C</v>
      </c>
    </row>
    <row r="11" spans="1:4">
      <c r="A11" s="6" t="s">
        <v>17</v>
      </c>
      <c r="C11" s="7" t="s">
        <v>18</v>
      </c>
      <c r="D11" s="8"/>
    </row>
    <row r="12" spans="1:4">
      <c r="A12" s="6" t="s">
        <v>19</v>
      </c>
      <c r="C12" s="7" t="s">
        <v>20</v>
      </c>
      <c r="D12" s="8"/>
    </row>
    <row r="13" spans="1:4">
      <c r="A13" s="6" t="s">
        <v>21</v>
      </c>
      <c r="C13" s="7" t="s">
        <v>18</v>
      </c>
      <c r="D13" s="8"/>
    </row>
    <row r="14" spans="1:4">
      <c r="A14" s="6" t="s">
        <v>22</v>
      </c>
      <c r="C14" s="7" t="s">
        <v>23</v>
      </c>
      <c r="D14" s="8"/>
    </row>
    <row r="15" spans="1:4">
      <c r="A15" s="6" t="s">
        <v>24</v>
      </c>
      <c r="C15" s="7" t="s">
        <v>25</v>
      </c>
      <c r="D15" s="8"/>
    </row>
    <row r="16" spans="1:4">
      <c r="A16" s="6" t="s">
        <v>26</v>
      </c>
      <c r="C16" s="7" t="s">
        <v>27</v>
      </c>
      <c r="D16" s="8"/>
    </row>
    <row r="19" spans="1:4">
      <c r="A19" s="3" t="s">
        <v>28</v>
      </c>
      <c r="B19" s="4"/>
      <c r="C19" s="5" t="s">
        <v>29</v>
      </c>
      <c r="D19" s="5" t="s">
        <v>30</v>
      </c>
    </row>
    <row r="20" spans="1:4">
      <c r="A20" s="6" t="s">
        <v>31</v>
      </c>
      <c r="C20" s="10">
        <f>ROUND((VLOOKUP(C7,Reference!$E$5:$F$15,2,FALSE())-40)/300,0)</f>
        <v>5</v>
      </c>
      <c r="D20" s="11" t="s">
        <v>32</v>
      </c>
    </row>
    <row r="21" spans="1:4">
      <c r="A21" s="6" t="s">
        <v>33</v>
      </c>
      <c r="C21" s="10">
        <f>ROUND((VLOOKUP(C6,Reference!$A$5:$B$14,2,FALSE())*VLOOKUP(C7,Reference!$E$5:$F$15,2,FALSE()))/1000000,2)</f>
        <v>1.8</v>
      </c>
      <c r="D21" s="11" t="s">
        <v>34</v>
      </c>
    </row>
    <row r="22" spans="1:4">
      <c r="A22" s="6" t="s">
        <v>35</v>
      </c>
      <c r="C22" s="10">
        <f>ROUND(((VLOOKUP(C6,Reference!$A$5:$B$14,2,FALSE())*VLOOKUP(C7,Reference!$E$5:$F$15,2,FALSE()))/1000000)*VLOOKUP(C8,Reference!$I$5:$J$11,2,FALSE()),2)</f>
        <v>1.04</v>
      </c>
      <c r="D22" s="11" t="s">
        <v>34</v>
      </c>
    </row>
    <row r="23" spans="1:4">
      <c r="A23" s="6" t="s">
        <v>36</v>
      </c>
      <c r="C23" s="10">
        <f>VLOOKUP(C10,Reference!$M$5:$N$9,2,FALSE())</f>
        <v>68</v>
      </c>
      <c r="D23" s="11" t="s">
        <v>37</v>
      </c>
    </row>
    <row r="24" spans="1:4">
      <c r="A24" s="6" t="s">
        <v>38</v>
      </c>
      <c r="C24" s="10">
        <f>IF(Input!$C$5="Premium",1500,IF(Input!$C$5="FireRated",1200,750))</f>
        <v>750</v>
      </c>
      <c r="D24" s="11" t="s">
        <v>39</v>
      </c>
    </row>
    <row r="25" spans="1:4">
      <c r="A25" s="6" t="s">
        <v>40</v>
      </c>
      <c r="C25" s="10">
        <f>IF(OR(C8="ALU-S",C8="ALU-D",C8="ALU-I"),4000,IF(OR(C8="PC-10",C8="PC-16"),3000,1500))</f>
        <v>3000</v>
      </c>
      <c r="D25" s="11" t="s">
        <v>39</v>
      </c>
    </row>
    <row r="26" spans="1:4">
      <c r="A26" s="6" t="s">
        <v>41</v>
      </c>
      <c r="C26" s="10">
        <f>IF(OR(C9="Pneumatic"),IF(VLOOKUP(C6,Reference!$A$5:$B$14,2,FALSE())&gt;=1800,9.8,IF(VLOOKUP(C6,Reference!$A$5:$B$14,2,FALSE())&gt;=1400,4.9,2)),"n/a")</f>
        <v>2</v>
      </c>
      <c r="D26" s="11" t="s">
        <v>42</v>
      </c>
    </row>
    <row r="27" spans="1:4">
      <c r="A27" s="6" t="s">
        <v>43</v>
      </c>
      <c r="C27" s="10" t="str">
        <f>IF(AND(C9="Pneumatic",VLOOKUP(C10,Reference!$M$5:$N$9,2,FALSE())&gt;0),IF(VLOOKUP(C6,Reference!$A$5:$B$14,2,FALSE())&gt;=1800,"40g",IF(VLOOKUP(C10,Reference!$M$5:$N$9,2,FALSE())&gt;=141,"28g","20g")),"none")</f>
        <v>20g</v>
      </c>
      <c r="D27" s="11" t="s">
        <v>44</v>
      </c>
    </row>
    <row r="28" spans="1:4">
      <c r="A28" s="6" t="s">
        <v>45</v>
      </c>
      <c r="C28" s="10">
        <f>IF(C11="Insulated",VLOOKUP(C8,Reference!$Q$5:$S$11,3,FALSE()),VLOOKUP(C8,Reference!$Q$5:$S$11,2,FALSE()))</f>
        <v>3.4</v>
      </c>
      <c r="D28" s="11" t="s">
        <v>46</v>
      </c>
    </row>
    <row r="29" spans="1:4">
      <c r="A29" s="6" t="s">
        <v>47</v>
      </c>
      <c r="C29" s="10">
        <f>ROUND(((VLOOKUP(C6,Reference!$A$5:$B$14,2,FALSE())*VLOOKUP(C7,Reference!$E$5:$F$15,2,FALSE()))/1000000)*IF(OR(C8="GLS-T",C8="GLS-L"),42,IF(C11="Insulated",26,18))+IF(C9="Manual",4,9),0)</f>
        <v>41</v>
      </c>
      <c r="D29" s="11" t="s">
        <v>48</v>
      </c>
    </row>
    <row r="32" spans="1:4">
      <c r="A32" s="3" t="s">
        <v>49</v>
      </c>
      <c r="B32" s="4"/>
      <c r="C32" s="12" t="str">
        <f>IF(Validation!C17,"OK","CHECK RULES")</f>
        <v>OK</v>
      </c>
      <c r="D32" s="2" t="s">
        <v>50</v>
      </c>
    </row>
    <row r="34" spans="1:3">
      <c r="A34" s="13" t="s">
        <v>51</v>
      </c>
      <c r="B34" s="14" t="s">
        <v>52</v>
      </c>
      <c r="C34" s="15" t="s">
        <v>53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xr:uid="{00000000-0002-0000-0000-000000000000}">
          <x14:formula1>
            <xm:f>Reference!$A$22:$A$24</xm:f>
          </x14:formula1>
          <x14:formula2>
            <xm:f>0</xm:f>
          </x14:formula2>
          <xm:sqref>C5</xm:sqref>
        </x14:dataValidation>
        <x14:dataValidation type="list" xr:uid="{00000000-0002-0000-0000-000001000000}">
          <x14:formula1>
            <xm:f>Reference!$B$22:$B$25</xm:f>
          </x14:formula1>
          <x14:formula2>
            <xm:f>0</xm:f>
          </x14:formula2>
          <xm:sqref>C9</xm:sqref>
        </x14:dataValidation>
        <x14:dataValidation type="list" xr:uid="{00000000-0002-0000-0000-000002000000}">
          <x14:formula1>
            <xm:f>Reference!$C$22:$C$23</xm:f>
          </x14:formula1>
          <x14:formula2>
            <xm:f>0</xm:f>
          </x14:formula2>
          <xm:sqref>C11</xm:sqref>
        </x14:dataValidation>
        <x14:dataValidation type="list" xr:uid="{00000000-0002-0000-0000-000003000000}">
          <x14:formula1>
            <xm:f>Reference!$D$22:$D$24</xm:f>
          </x14:formula1>
          <x14:formula2>
            <xm:f>0</xm:f>
          </x14:formula2>
          <xm:sqref>C12</xm:sqref>
        </x14:dataValidation>
        <x14:dataValidation type="list" xr:uid="{00000000-0002-0000-0000-000004000000}">
          <x14:formula1>
            <xm:f>Reference!$E$22:$E$24</xm:f>
          </x14:formula1>
          <x14:formula2>
            <xm:f>0</xm:f>
          </x14:formula2>
          <xm:sqref>C13</xm:sqref>
        </x14:dataValidation>
        <x14:dataValidation type="list" xr:uid="{00000000-0002-0000-0000-000005000000}">
          <x14:formula1>
            <xm:f>Reference!$F$22:$F$23</xm:f>
          </x14:formula1>
          <x14:formula2>
            <xm:f>0</xm:f>
          </x14:formula2>
          <xm:sqref>C14</xm:sqref>
        </x14:dataValidation>
        <x14:dataValidation type="list" xr:uid="{00000000-0002-0000-0000-000006000000}">
          <x14:formula1>
            <xm:f>Reference!$G$22:$G$23</xm:f>
          </x14:formula1>
          <x14:formula2>
            <xm:f>0</xm:f>
          </x14:formula2>
          <xm:sqref>C15</xm:sqref>
        </x14:dataValidation>
        <x14:dataValidation type="list" xr:uid="{00000000-0002-0000-0000-000007000000}">
          <x14:formula1>
            <xm:f>Reference!$H$22:$H$23</xm:f>
          </x14:formula1>
          <x14:formula2>
            <xm:f>0</xm:f>
          </x14:formula2>
          <xm:sqref>C16</xm:sqref>
        </x14:dataValidation>
        <x14:dataValidation type="list" xr:uid="{00000000-0002-0000-0000-000008000000}">
          <x14:formula1>
            <xm:f>Reference!$A$5:$A$14</xm:f>
          </x14:formula1>
          <x14:formula2>
            <xm:f>0</xm:f>
          </x14:formula2>
          <xm:sqref>C6</xm:sqref>
        </x14:dataValidation>
        <x14:dataValidation type="list" xr:uid="{00000000-0002-0000-0000-000009000000}">
          <x14:formula1>
            <xm:f>Reference!$E$5:$E$15</xm:f>
          </x14:formula1>
          <x14:formula2>
            <xm:f>0</xm:f>
          </x14:formula2>
          <xm:sqref>C7</xm:sqref>
        </x14:dataValidation>
        <x14:dataValidation type="list" xr:uid="{00000000-0002-0000-0000-00000A000000}">
          <x14:formula1>
            <xm:f>Reference!$I$5:$I$11</xm:f>
          </x14:formula1>
          <x14:formula2>
            <xm:f>0</xm:f>
          </x14:formula2>
          <xm:sqref>C8</xm:sqref>
        </x14:dataValidation>
        <x14:dataValidation type="list" xr:uid="{00000000-0002-0000-0000-00000B000000}">
          <x14:formula1>
            <xm:f>Reference!$M$5:$M$9</xm:f>
          </x14:formula1>
          <x14:formula2>
            <xm:f>0</xm:f>
          </x14:formula2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zoomScaleNormal="100" workbookViewId="0">
      <selection activeCell="A23" sqref="A23"/>
    </sheetView>
  </sheetViews>
  <sheetFormatPr defaultColWidth="8.7109375" defaultRowHeight="15"/>
  <cols>
    <col min="1" max="19" width="13" customWidth="1"/>
  </cols>
  <sheetData>
    <row r="1" spans="1:19" ht="19.7">
      <c r="A1" s="1" t="s">
        <v>54</v>
      </c>
    </row>
    <row r="3" spans="1:19">
      <c r="A3" s="16" t="s">
        <v>55</v>
      </c>
      <c r="E3" s="16" t="s">
        <v>56</v>
      </c>
      <c r="I3" s="16" t="s">
        <v>57</v>
      </c>
      <c r="M3" s="16" t="s">
        <v>58</v>
      </c>
      <c r="Q3" s="16" t="s">
        <v>59</v>
      </c>
    </row>
    <row r="4" spans="1:19">
      <c r="A4" s="17" t="s">
        <v>60</v>
      </c>
      <c r="B4" s="17" t="s">
        <v>61</v>
      </c>
      <c r="C4" s="17" t="s">
        <v>62</v>
      </c>
      <c r="E4" s="17" t="s">
        <v>60</v>
      </c>
      <c r="F4" s="17" t="s">
        <v>61</v>
      </c>
      <c r="G4" s="17" t="s">
        <v>62</v>
      </c>
      <c r="I4" s="17" t="s">
        <v>60</v>
      </c>
      <c r="J4" s="17" t="s">
        <v>63</v>
      </c>
      <c r="K4" s="17" t="s">
        <v>62</v>
      </c>
      <c r="M4" s="17" t="s">
        <v>60</v>
      </c>
      <c r="N4" s="17" t="s">
        <v>64</v>
      </c>
      <c r="O4" s="17" t="s">
        <v>62</v>
      </c>
      <c r="Q4" s="17" t="s">
        <v>65</v>
      </c>
      <c r="R4" s="17" t="s">
        <v>66</v>
      </c>
      <c r="S4" s="17" t="s">
        <v>67</v>
      </c>
    </row>
    <row r="5" spans="1:19">
      <c r="A5" t="s">
        <v>68</v>
      </c>
      <c r="B5">
        <v>400</v>
      </c>
      <c r="C5" t="s">
        <v>69</v>
      </c>
      <c r="E5" t="s">
        <v>70</v>
      </c>
      <c r="F5">
        <v>600</v>
      </c>
      <c r="G5" t="s">
        <v>71</v>
      </c>
      <c r="I5" t="s">
        <v>72</v>
      </c>
      <c r="J5">
        <v>0.62</v>
      </c>
      <c r="K5" t="s">
        <v>73</v>
      </c>
      <c r="M5" t="s">
        <v>74</v>
      </c>
      <c r="N5">
        <v>0</v>
      </c>
      <c r="O5" t="s">
        <v>75</v>
      </c>
      <c r="Q5" t="s">
        <v>72</v>
      </c>
      <c r="R5">
        <v>5.5</v>
      </c>
      <c r="S5">
        <v>2.4</v>
      </c>
    </row>
    <row r="6" spans="1:19">
      <c r="A6" t="s">
        <v>76</v>
      </c>
      <c r="B6">
        <v>600</v>
      </c>
      <c r="C6" t="s">
        <v>71</v>
      </c>
      <c r="E6" t="s">
        <v>77</v>
      </c>
      <c r="F6">
        <v>900</v>
      </c>
      <c r="G6" t="s">
        <v>78</v>
      </c>
      <c r="I6" t="s">
        <v>79</v>
      </c>
      <c r="J6">
        <v>0.66</v>
      </c>
      <c r="K6" t="s">
        <v>80</v>
      </c>
      <c r="M6" t="s">
        <v>16</v>
      </c>
      <c r="N6">
        <v>68</v>
      </c>
      <c r="O6" t="s">
        <v>81</v>
      </c>
      <c r="Q6" t="s">
        <v>79</v>
      </c>
      <c r="R6">
        <v>4.5999999999999996</v>
      </c>
      <c r="S6">
        <v>2.2999999999999998</v>
      </c>
    </row>
    <row r="7" spans="1:19">
      <c r="A7" t="s">
        <v>82</v>
      </c>
      <c r="B7">
        <v>800</v>
      </c>
      <c r="C7" t="s">
        <v>83</v>
      </c>
      <c r="E7" t="s">
        <v>84</v>
      </c>
      <c r="F7">
        <v>1200</v>
      </c>
      <c r="G7" t="s">
        <v>85</v>
      </c>
      <c r="I7" t="s">
        <v>86</v>
      </c>
      <c r="J7">
        <v>0.71</v>
      </c>
      <c r="K7" t="s">
        <v>87</v>
      </c>
      <c r="M7" t="s">
        <v>88</v>
      </c>
      <c r="N7">
        <v>93</v>
      </c>
      <c r="O7" t="s">
        <v>89</v>
      </c>
      <c r="Q7" t="s">
        <v>86</v>
      </c>
      <c r="R7">
        <v>1.9</v>
      </c>
      <c r="S7">
        <v>1.4</v>
      </c>
    </row>
    <row r="8" spans="1:19">
      <c r="A8" t="s">
        <v>90</v>
      </c>
      <c r="B8">
        <v>1000</v>
      </c>
      <c r="C8" t="s">
        <v>91</v>
      </c>
      <c r="E8" t="s">
        <v>10</v>
      </c>
      <c r="F8">
        <v>1500</v>
      </c>
      <c r="G8" t="s">
        <v>92</v>
      </c>
      <c r="I8" t="s">
        <v>93</v>
      </c>
      <c r="J8">
        <v>0.6</v>
      </c>
      <c r="K8" t="s">
        <v>94</v>
      </c>
      <c r="M8" t="s">
        <v>95</v>
      </c>
      <c r="N8">
        <v>141</v>
      </c>
      <c r="O8" t="s">
        <v>96</v>
      </c>
      <c r="Q8" t="s">
        <v>93</v>
      </c>
      <c r="R8">
        <v>5.7</v>
      </c>
      <c r="S8">
        <v>2.5</v>
      </c>
    </row>
    <row r="9" spans="1:19">
      <c r="A9" t="s">
        <v>8</v>
      </c>
      <c r="B9">
        <v>1200</v>
      </c>
      <c r="C9" t="s">
        <v>85</v>
      </c>
      <c r="E9" t="s">
        <v>97</v>
      </c>
      <c r="F9">
        <v>1800</v>
      </c>
      <c r="G9" t="s">
        <v>98</v>
      </c>
      <c r="I9" t="s">
        <v>12</v>
      </c>
      <c r="J9">
        <v>0.57999999999999996</v>
      </c>
      <c r="K9" t="s">
        <v>99</v>
      </c>
      <c r="M9" t="s">
        <v>100</v>
      </c>
      <c r="N9">
        <v>182</v>
      </c>
      <c r="O9" t="s">
        <v>101</v>
      </c>
      <c r="Q9" t="s">
        <v>12</v>
      </c>
      <c r="R9">
        <v>3.4</v>
      </c>
      <c r="S9">
        <v>2</v>
      </c>
    </row>
    <row r="10" spans="1:19">
      <c r="A10" t="s">
        <v>102</v>
      </c>
      <c r="B10">
        <v>1400</v>
      </c>
      <c r="C10" t="s">
        <v>103</v>
      </c>
      <c r="E10" t="s">
        <v>104</v>
      </c>
      <c r="F10">
        <v>2100</v>
      </c>
      <c r="G10" t="s">
        <v>105</v>
      </c>
      <c r="I10" t="s">
        <v>106</v>
      </c>
      <c r="J10">
        <v>0.56999999999999995</v>
      </c>
      <c r="K10" t="s">
        <v>107</v>
      </c>
      <c r="Q10" t="s">
        <v>106</v>
      </c>
      <c r="R10">
        <v>3.9</v>
      </c>
      <c r="S10">
        <v>2.1</v>
      </c>
    </row>
    <row r="11" spans="1:19">
      <c r="A11" t="s">
        <v>108</v>
      </c>
      <c r="B11">
        <v>1600</v>
      </c>
      <c r="C11" t="s">
        <v>109</v>
      </c>
      <c r="E11" t="s">
        <v>110</v>
      </c>
      <c r="F11">
        <v>2400</v>
      </c>
      <c r="G11" t="s">
        <v>111</v>
      </c>
      <c r="I11" t="s">
        <v>112</v>
      </c>
      <c r="J11">
        <v>0.55000000000000004</v>
      </c>
      <c r="K11" t="s">
        <v>113</v>
      </c>
      <c r="Q11" t="s">
        <v>112</v>
      </c>
      <c r="R11">
        <v>3.9</v>
      </c>
      <c r="S11">
        <v>2.1</v>
      </c>
    </row>
    <row r="12" spans="1:19">
      <c r="A12" t="s">
        <v>114</v>
      </c>
      <c r="B12">
        <v>1800</v>
      </c>
      <c r="C12" t="s">
        <v>98</v>
      </c>
      <c r="E12" t="s">
        <v>115</v>
      </c>
      <c r="F12">
        <v>2700</v>
      </c>
      <c r="G12" t="s">
        <v>116</v>
      </c>
    </row>
    <row r="13" spans="1:19">
      <c r="A13" t="s">
        <v>117</v>
      </c>
      <c r="B13">
        <v>2000</v>
      </c>
      <c r="C13" t="s">
        <v>118</v>
      </c>
      <c r="E13" t="s">
        <v>119</v>
      </c>
      <c r="F13">
        <v>3000</v>
      </c>
      <c r="G13" t="s">
        <v>120</v>
      </c>
    </row>
    <row r="14" spans="1:19">
      <c r="A14" t="s">
        <v>121</v>
      </c>
      <c r="B14">
        <v>2200</v>
      </c>
      <c r="C14" t="s">
        <v>122</v>
      </c>
      <c r="E14" t="s">
        <v>123</v>
      </c>
      <c r="F14">
        <v>3300</v>
      </c>
      <c r="G14" t="s">
        <v>124</v>
      </c>
    </row>
    <row r="15" spans="1:19">
      <c r="E15" t="s">
        <v>125</v>
      </c>
      <c r="F15">
        <v>3600</v>
      </c>
      <c r="G15" t="s">
        <v>126</v>
      </c>
    </row>
    <row r="20" spans="1:8">
      <c r="A20" s="16" t="s">
        <v>127</v>
      </c>
    </row>
    <row r="21" spans="1:8">
      <c r="A21" s="13" t="s">
        <v>5</v>
      </c>
      <c r="B21" s="13" t="s">
        <v>13</v>
      </c>
      <c r="C21" s="13" t="s">
        <v>17</v>
      </c>
      <c r="D21" s="13" t="s">
        <v>128</v>
      </c>
      <c r="E21" s="13" t="s">
        <v>21</v>
      </c>
      <c r="F21" s="13" t="s">
        <v>22</v>
      </c>
      <c r="G21" s="13" t="s">
        <v>24</v>
      </c>
      <c r="H21" s="13" t="s">
        <v>129</v>
      </c>
    </row>
    <row r="22" spans="1:8">
      <c r="A22" t="s">
        <v>6</v>
      </c>
      <c r="B22" t="s">
        <v>130</v>
      </c>
      <c r="C22" t="s">
        <v>18</v>
      </c>
      <c r="D22" t="s">
        <v>20</v>
      </c>
      <c r="E22" t="s">
        <v>18</v>
      </c>
      <c r="F22" t="s">
        <v>23</v>
      </c>
      <c r="G22" t="s">
        <v>25</v>
      </c>
      <c r="H22" t="s">
        <v>27</v>
      </c>
    </row>
    <row r="23" spans="1:8">
      <c r="A23" t="s">
        <v>131</v>
      </c>
      <c r="B23" t="s">
        <v>14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</row>
    <row r="24" spans="1:8">
      <c r="A24" t="s">
        <v>138</v>
      </c>
      <c r="B24" t="s">
        <v>139</v>
      </c>
      <c r="D24" t="s">
        <v>140</v>
      </c>
      <c r="E24" t="s">
        <v>141</v>
      </c>
    </row>
    <row r="25" spans="1:8">
      <c r="B25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zoomScaleNormal="100" workbookViewId="0"/>
  </sheetViews>
  <sheetFormatPr defaultColWidth="8.7109375" defaultRowHeight="15"/>
  <cols>
    <col min="1" max="1" width="5" customWidth="1"/>
    <col min="2" max="2" width="78" customWidth="1"/>
    <col min="3" max="3" width="10" customWidth="1"/>
  </cols>
  <sheetData>
    <row r="1" spans="1:3" ht="19.7">
      <c r="A1" s="1" t="s">
        <v>143</v>
      </c>
    </row>
    <row r="3" spans="1:3">
      <c r="A3" s="17" t="s">
        <v>144</v>
      </c>
      <c r="B3" s="17" t="s">
        <v>145</v>
      </c>
      <c r="C3" s="17" t="s">
        <v>146</v>
      </c>
    </row>
    <row r="4" spans="1:3">
      <c r="A4" s="18">
        <v>1</v>
      </c>
      <c r="B4" s="18" t="s">
        <v>147</v>
      </c>
      <c r="C4" s="19" t="b">
        <f>IF(AND(Input!$C$13&lt;&gt;"None",Input!$C$5&lt;&gt;"Premium"),FALSE(),TRUE())</f>
        <v>1</v>
      </c>
    </row>
    <row r="5" spans="1:3">
      <c r="A5" s="18">
        <v>2</v>
      </c>
      <c r="B5" s="18" t="s">
        <v>148</v>
      </c>
      <c r="C5" s="19" t="b">
        <f>IF(AND(Input!$C$8="ALU-I",Input!$C$11&lt;&gt;"Insulated"),FALSE(),TRUE())</f>
        <v>1</v>
      </c>
    </row>
    <row r="6" spans="1:3">
      <c r="A6" s="18">
        <v>3</v>
      </c>
      <c r="B6" s="18" t="s">
        <v>149</v>
      </c>
      <c r="C6" s="19" t="b">
        <f>IF(AND(Input!$C$11="Insulated",NOT(OR(Input!$C$8="ALU-I",Input!$C$8="PC-16",Input!$C$8="GLS-L"))),FALSE(),TRUE())</f>
        <v>1</v>
      </c>
    </row>
    <row r="7" spans="1:3">
      <c r="A7" s="18">
        <v>4</v>
      </c>
      <c r="B7" s="18" t="s">
        <v>150</v>
      </c>
      <c r="C7" s="19" t="b">
        <f>IF(AND(Input!$C$5="FireRated",Input!$C$10="RX"),FALSE(),TRUE())</f>
        <v>1</v>
      </c>
    </row>
    <row r="8" spans="1:3">
      <c r="A8" s="18">
        <v>5</v>
      </c>
      <c r="B8" s="18" t="s">
        <v>151</v>
      </c>
      <c r="C8" s="19" t="b">
        <f>IF(AND(Input!$C$5="FireRated",Input!$C$15="Wall"),FALSE(),TRUE())</f>
        <v>1</v>
      </c>
    </row>
    <row r="9" spans="1:3">
      <c r="A9" s="18">
        <v>6</v>
      </c>
      <c r="B9" s="18" t="s">
        <v>152</v>
      </c>
      <c r="C9" s="19" t="b">
        <f>IF(AND(Input!$C$15="Wall",Input!$C$12&lt;&gt;"Flat"),FALSE(),TRUE())</f>
        <v>1</v>
      </c>
    </row>
    <row r="10" spans="1:3">
      <c r="A10" s="18">
        <v>7</v>
      </c>
      <c r="B10" s="18" t="s">
        <v>153</v>
      </c>
      <c r="C10" s="19" t="b">
        <f>IF(AND(OR(Input!$C$8="GLS-T",Input!$C$8="GLS-L"),VLOOKUP(Input!$C$6,Reference!$A$5:$B$14,2,FALSE())&gt;1800),FALSE(),TRUE())</f>
        <v>1</v>
      </c>
    </row>
    <row r="11" spans="1:3">
      <c r="A11" s="18">
        <v>8</v>
      </c>
      <c r="B11" s="18" t="s">
        <v>154</v>
      </c>
      <c r="C11" s="19" t="b">
        <f>IF(AND(Input!$C$9="Manual",VLOOKUP(Input!$C$6,Reference!$A$5:$B$14,2,FALSE())&gt;=2000),FALSE(),TRUE())</f>
        <v>1</v>
      </c>
    </row>
    <row r="12" spans="1:3">
      <c r="A12" s="18">
        <v>9</v>
      </c>
      <c r="B12" s="18" t="s">
        <v>155</v>
      </c>
      <c r="C12" s="19" t="b">
        <f>IF(AND(Input!$C$14="PowderCoat",Input!$C$5&lt;&gt;"Premium"),FALSE(),TRUE())</f>
        <v>1</v>
      </c>
    </row>
    <row r="13" spans="1:3">
      <c r="A13" s="18">
        <v>10</v>
      </c>
      <c r="B13" s="18" t="s">
        <v>156</v>
      </c>
      <c r="C13" s="19" t="b">
        <f>IF(AND(Input!$C$16="Yes",VLOOKUP(Input!$C$7,Reference!$E$5:$F$15,2,FALSE())&lt;2400),FALSE(),TRUE())</f>
        <v>1</v>
      </c>
    </row>
    <row r="14" spans="1:3">
      <c r="A14" s="18">
        <v>11</v>
      </c>
      <c r="B14" s="18" t="s">
        <v>157</v>
      </c>
      <c r="C14" s="19" t="b">
        <f>IF(AND(Input!$C$9="Electric230V",Input!$C$5="Standard"),FALSE(),TRUE())</f>
        <v>1</v>
      </c>
    </row>
    <row r="15" spans="1:3">
      <c r="A15" s="18">
        <v>12</v>
      </c>
      <c r="B15" s="18" t="s">
        <v>158</v>
      </c>
      <c r="C15" s="19" t="b">
        <f>IF(AND(Input!$C$13="BirdGuard",Input!$C$12="Flat"),FALSE(),TRUE())</f>
        <v>1</v>
      </c>
    </row>
    <row r="17" spans="2:3">
      <c r="B17" s="16" t="s">
        <v>159</v>
      </c>
      <c r="C17" s="20" t="b">
        <f>IF(COUNTIF(C4:C15,FALSE())=0,TRUE(),FALSE())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e8a59d-3a81-4b74-849a-9f125a18a5d5">
      <Terms xmlns="http://schemas.microsoft.com/office/infopath/2007/PartnerControls"/>
    </lcf76f155ced4ddcb4097134ff3c332f>
    <Status xmlns="05e8a59d-3a81-4b74-849a-9f125a18a5d5" xsi:nil="true"/>
    <TaxCatchAll xmlns="52217aa2-56c0-4537-a16b-21b948960d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CB672AF67F44D950DBE54A5A52241" ma:contentTypeVersion="17" ma:contentTypeDescription="Create a new document." ma:contentTypeScope="" ma:versionID="1757fad67ccba543cf071e268e2ef806">
  <xsd:schema xmlns:xsd="http://www.w3.org/2001/XMLSchema" xmlns:xs="http://www.w3.org/2001/XMLSchema" xmlns:p="http://schemas.microsoft.com/office/2006/metadata/properties" xmlns:ns2="05e8a59d-3a81-4b74-849a-9f125a18a5d5" xmlns:ns3="52217aa2-56c0-4537-a16b-21b948960df3" targetNamespace="http://schemas.microsoft.com/office/2006/metadata/properties" ma:root="true" ma:fieldsID="3406f66a34ebb4d667a2549e1a052923" ns2:_="" ns3:_="">
    <xsd:import namespace="05e8a59d-3a81-4b74-849a-9f125a18a5d5"/>
    <xsd:import namespace="52217aa2-56c0-4537-a16b-21b948960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8a59d-3a81-4b74-849a-9f125a18a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b3f3f-e5a1-4961-851f-eb29f9d0b8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17aa2-56c0-4537-a16b-21b948960d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17214b-65a8-4a4a-8087-04c3d591675e}" ma:internalName="TaxCatchAll" ma:showField="CatchAllData" ma:web="52217aa2-56c0-4537-a16b-21b948960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518BFB-6623-48BE-A4EC-B9D9BBAB8EC3}"/>
</file>

<file path=customXml/itemProps2.xml><?xml version="1.0" encoding="utf-8"?>
<ds:datastoreItem xmlns:ds="http://schemas.openxmlformats.org/officeDocument/2006/customXml" ds:itemID="{FB108047-49F8-4962-9F75-4692DAA9DDB4}"/>
</file>

<file path=customXml/itemProps3.xml><?xml version="1.0" encoding="utf-8"?>
<ds:datastoreItem xmlns:ds="http://schemas.openxmlformats.org/officeDocument/2006/customXml" ds:itemID="{AEC659E1-1CFC-4E87-B23F-541083AA8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Conor Lavery</cp:lastModifiedBy>
  <cp:revision>0</cp:revision>
  <dcterms:created xsi:type="dcterms:W3CDTF">2026-08-19T11:22:28Z</dcterms:created>
  <dcterms:modified xsi:type="dcterms:W3CDTF">2026-08-26T11:34:09Z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0x0101000C5CB672AF67F44D950DBE54A5A52241</vt:lpwstr>
  </property>
  <property fmtid="{D5CDD505-2E9C-101B-9397-08002B2CF9AE}" pid="3" name="MediaServiceImageTags">
    <vt:lpwstr/>
  </property>
</Properties>
</file>