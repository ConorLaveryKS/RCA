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Reference" sheetId="2" state="visible" r:id="rId4"/>
    <sheet name="Valid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<sst xmlns="http://schemas.openxmlformats.org/spreadsheetml/2006/main" count="198" uniqueCount="160">
  <si>
    <t xml:space="preserve">AirCore Natural Ventilation Unit — Configurator (DEMO)</t>
  </si>
  <si>
    <t xml:space="preserve">Fictional product &amp; data for demonstration purposes — Meridian Building Systems (DEMO)</t>
  </si>
  <si>
    <t xml:space="preserve">CONFIGURATION</t>
  </si>
  <si>
    <t xml:space="preserve">Selection</t>
  </si>
  <si>
    <t xml:space="preserve">Resolved</t>
  </si>
  <si>
    <t xml:space="preserve">Version</t>
  </si>
  <si>
    <t xml:space="preserve">Standard</t>
  </si>
  <si>
    <t xml:space="preserve">Width</t>
  </si>
  <si>
    <t xml:space="preserve">W12</t>
  </si>
  <si>
    <t xml:space="preserve">Length</t>
  </si>
  <si>
    <t xml:space="preserve">L15</t>
  </si>
  <si>
    <t xml:space="preserve">Panel type</t>
  </si>
  <si>
    <t xml:space="preserve">PC-16</t>
  </si>
  <si>
    <t xml:space="preserve">Control</t>
  </si>
  <si>
    <t xml:space="preserve">Pneumatic</t>
  </si>
  <si>
    <t xml:space="preserve">Release</t>
  </si>
  <si>
    <t xml:space="preserve">R68</t>
  </si>
  <si>
    <t xml:space="preserve">Insulation</t>
  </si>
  <si>
    <t xml:space="preserve">None</t>
  </si>
  <si>
    <t xml:space="preserve">Base type</t>
  </si>
  <si>
    <t xml:space="preserve">Flat</t>
  </si>
  <si>
    <t xml:space="preserve">Guards</t>
  </si>
  <si>
    <t xml:space="preserve">Finish</t>
  </si>
  <si>
    <t xml:space="preserve">Mill</t>
  </si>
  <si>
    <t xml:space="preserve">Mounting</t>
  </si>
  <si>
    <t xml:space="preserve">Roof</t>
  </si>
  <si>
    <t xml:space="preserve">Lifting points</t>
  </si>
  <si>
    <t xml:space="preserve">No</t>
  </si>
  <si>
    <t xml:space="preserve">CALCULATED OUTPUTS</t>
  </si>
  <si>
    <t xml:space="preserve">Value</t>
  </si>
  <si>
    <t xml:space="preserve">Unit</t>
  </si>
  <si>
    <t xml:space="preserve">Number of panels</t>
  </si>
  <si>
    <t xml:space="preserve">panels</t>
  </si>
  <si>
    <t xml:space="preserve">Geometric area Av</t>
  </si>
  <si>
    <t xml:space="preserve">m2</t>
  </si>
  <si>
    <t xml:space="preserve">Free area Aa</t>
  </si>
  <si>
    <t xml:space="preserve">Release temperature</t>
  </si>
  <si>
    <t xml:space="preserve">deg C</t>
  </si>
  <si>
    <t xml:space="preserve">Snow load rating</t>
  </si>
  <si>
    <t xml:space="preserve">N/m2</t>
  </si>
  <si>
    <t xml:space="preserve">Wind load rating</t>
  </si>
  <si>
    <t xml:space="preserve">Actuation pressure</t>
  </si>
  <si>
    <t xml:space="preserve">bar</t>
  </si>
  <si>
    <t xml:space="preserve">Gas cartridge</t>
  </si>
  <si>
    <t xml:space="preserve">size</t>
  </si>
  <si>
    <t xml:space="preserve">U-value</t>
  </si>
  <si>
    <t xml:space="preserve">W/(m2K)</t>
  </si>
  <si>
    <t xml:space="preserve">Estimated weight</t>
  </si>
  <si>
    <t xml:space="preserve">kg</t>
  </si>
  <si>
    <t xml:space="preserve">CONFIGURATION VALID?</t>
  </si>
  <si>
    <t xml:space="preserve">See Validation tab for rule detail</t>
  </si>
  <si>
    <t xml:space="preserve">Legend:</t>
  </si>
  <si>
    <t xml:space="preserve">Yellow = you edit</t>
  </si>
  <si>
    <t xml:space="preserve">Green = calculated</t>
  </si>
  <si>
    <t xml:space="preserve">AirCore — Reference Tables (codes, labels, dimensions)</t>
  </si>
  <si>
    <t xml:space="preserve">WIDTH</t>
  </si>
  <si>
    <t xml:space="preserve">LENGTH</t>
  </si>
  <si>
    <t xml:space="preserve">PANEL TYPE</t>
  </si>
  <si>
    <t xml:space="preserve">RELEASE</t>
  </si>
  <si>
    <t xml:space="preserve">U-VALUE  W/(m2K)</t>
  </si>
  <si>
    <t xml:space="preserve">Code</t>
  </si>
  <si>
    <t xml:space="preserve">mm</t>
  </si>
  <si>
    <t xml:space="preserve">Label</t>
  </si>
  <si>
    <t xml:space="preserve">Cv</t>
  </si>
  <si>
    <t xml:space="preserve">TempC</t>
  </si>
  <si>
    <t xml:space="preserve">Panel</t>
  </si>
  <si>
    <t xml:space="preserve">Uncov</t>
  </si>
  <si>
    <t xml:space="preserve">Insul</t>
  </si>
  <si>
    <t xml:space="preserve">W04</t>
  </si>
  <si>
    <t xml:space="preserve">400 mm</t>
  </si>
  <si>
    <t xml:space="preserve">L06</t>
  </si>
  <si>
    <t xml:space="preserve">600 mm</t>
  </si>
  <si>
    <t xml:space="preserve">ALU-S</t>
  </si>
  <si>
    <t xml:space="preserve">Single-skin aluminium</t>
  </si>
  <si>
    <t xml:space="preserve">RX</t>
  </si>
  <si>
    <t xml:space="preserve">No thermal release</t>
  </si>
  <si>
    <t xml:space="preserve">W06</t>
  </si>
  <si>
    <t xml:space="preserve">L09</t>
  </si>
  <si>
    <t xml:space="preserve">900 mm</t>
  </si>
  <si>
    <t xml:space="preserve">ALU-D</t>
  </si>
  <si>
    <t xml:space="preserve">Double-skin aluminium</t>
  </si>
  <si>
    <t xml:space="preserve">Thermal release 68 °C</t>
  </si>
  <si>
    <t xml:space="preserve">W08</t>
  </si>
  <si>
    <t xml:space="preserve">800 mm</t>
  </si>
  <si>
    <t xml:space="preserve">L12</t>
  </si>
  <si>
    <t xml:space="preserve">1200 mm</t>
  </si>
  <si>
    <t xml:space="preserve">ALU-I</t>
  </si>
  <si>
    <t xml:space="preserve">Insulated aluminium</t>
  </si>
  <si>
    <t xml:space="preserve">R93</t>
  </si>
  <si>
    <t xml:space="preserve">Thermal release 93 °C</t>
  </si>
  <si>
    <t xml:space="preserve">W10</t>
  </si>
  <si>
    <t xml:space="preserve">1000 mm</t>
  </si>
  <si>
    <t xml:space="preserve">1500 mm</t>
  </si>
  <si>
    <t xml:space="preserve">PC-10</t>
  </si>
  <si>
    <t xml:space="preserve">10 mm polycarbonate, clear</t>
  </si>
  <si>
    <t xml:space="preserve">R141</t>
  </si>
  <si>
    <t xml:space="preserve">Thermal release 141 °C</t>
  </si>
  <si>
    <t xml:space="preserve">L18</t>
  </si>
  <si>
    <t xml:space="preserve">1800 mm</t>
  </si>
  <si>
    <t xml:space="preserve">16 mm polycarbonate, opal</t>
  </si>
  <si>
    <t xml:space="preserve">R182</t>
  </si>
  <si>
    <t xml:space="preserve">Thermal release 182 °C</t>
  </si>
  <si>
    <t xml:space="preserve">W14</t>
  </si>
  <si>
    <t xml:space="preserve">1400 mm</t>
  </si>
  <si>
    <t xml:space="preserve">L21</t>
  </si>
  <si>
    <t xml:space="preserve">2100 mm</t>
  </si>
  <si>
    <t xml:space="preserve">GLS-T</t>
  </si>
  <si>
    <t xml:space="preserve">Toughened glass</t>
  </si>
  <si>
    <t xml:space="preserve">W16</t>
  </si>
  <si>
    <t xml:space="preserve">1600 mm</t>
  </si>
  <si>
    <t xml:space="preserve">L24</t>
  </si>
  <si>
    <t xml:space="preserve">2400 mm</t>
  </si>
  <si>
    <t xml:space="preserve">GLS-L</t>
  </si>
  <si>
    <t xml:space="preserve">Laminated glass</t>
  </si>
  <si>
    <t xml:space="preserve">W18</t>
  </si>
  <si>
    <t xml:space="preserve">L27</t>
  </si>
  <si>
    <t xml:space="preserve">2700 mm</t>
  </si>
  <si>
    <t xml:space="preserve">W20</t>
  </si>
  <si>
    <t xml:space="preserve">2000 mm</t>
  </si>
  <si>
    <t xml:space="preserve">L30</t>
  </si>
  <si>
    <t xml:space="preserve">3000 mm</t>
  </si>
  <si>
    <t xml:space="preserve">W22</t>
  </si>
  <si>
    <t xml:space="preserve">2200 mm</t>
  </si>
  <si>
    <t xml:space="preserve">L33</t>
  </si>
  <si>
    <t xml:space="preserve">3300 mm</t>
  </si>
  <si>
    <t xml:space="preserve">L36</t>
  </si>
  <si>
    <t xml:space="preserve">3600 mm</t>
  </si>
  <si>
    <t xml:space="preserve">OPTION LISTS</t>
  </si>
  <si>
    <t xml:space="preserve">BaseType</t>
  </si>
  <si>
    <t xml:space="preserve">Lifting</t>
  </si>
  <si>
    <t xml:space="preserve">Manual</t>
  </si>
  <si>
    <t xml:space="preserve">Premium</t>
  </si>
  <si>
    <t xml:space="preserve">Insulated</t>
  </si>
  <si>
    <t xml:space="preserve">Upstand150</t>
  </si>
  <si>
    <t xml:space="preserve">InsectMesh</t>
  </si>
  <si>
    <t xml:space="preserve">PowderCoat</t>
  </si>
  <si>
    <t xml:space="preserve">Wall</t>
  </si>
  <si>
    <t xml:space="preserve">Yes</t>
  </si>
  <si>
    <t xml:space="preserve">FireRated</t>
  </si>
  <si>
    <t xml:space="preserve">Electric24V</t>
  </si>
  <si>
    <t xml:space="preserve">Upstand300</t>
  </si>
  <si>
    <t xml:space="preserve">BirdGuard</t>
  </si>
  <si>
    <t xml:space="preserve">Electric230V</t>
  </si>
  <si>
    <t xml:space="preserve">AirCore — Configuration Validation Rules</t>
  </si>
  <si>
    <t xml:space="preserve">#</t>
  </si>
  <si>
    <t xml:space="preserve">Rule</t>
  </si>
  <si>
    <t xml:space="preserve">Valid?</t>
  </si>
  <si>
    <t xml:space="preserve">Guards are only available on the Premium version</t>
  </si>
  <si>
    <t xml:space="preserve">Insulated panels (ALU-I) require the Insulated option</t>
  </si>
  <si>
    <t xml:space="preserve">Insulation is only available with ALU-I, PC-16 or GLS-L panels</t>
  </si>
  <si>
    <t xml:space="preserve">Fire-rated version requires a thermal release (not RX)</t>
  </si>
  <si>
    <t xml:space="preserve">Wall mounting is not available on the Fire-rated version</t>
  </si>
  <si>
    <t xml:space="preserve">Upstand bases are not used for Wall mounting</t>
  </si>
  <si>
    <t xml:space="preserve">Glass panels (GLS-*) are not available above width 1800 mm</t>
  </si>
  <si>
    <t xml:space="preserve">Manual control is not available on width 2000 mm or above</t>
  </si>
  <si>
    <t xml:space="preserve">PowderCoat finish is only available on the Premium version</t>
  </si>
  <si>
    <t xml:space="preserve">Lifting points require length 2400 mm or above</t>
  </si>
  <si>
    <t xml:space="preserve">Electric 230V control is not available on the Standard version</t>
  </si>
  <si>
    <t xml:space="preserve">Bird guard requires an upstand base</t>
  </si>
  <si>
    <t xml:space="preserve">ALL RULES 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</si>
</sst>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5" t="s">
        <v>3</v>
      </c>
      <c r="D4" s="5" t="s">
        <v>4</v>
      </c>
    </row>
    <row r="5" customFormat="false" ht="15" hidden="false" customHeight="false" outlineLevel="0" collapsed="false">
      <c r="A5" s="6" t="s">
        <v>5</v>
      </c>
      <c r="C5" s="7" t="s">
        <v>6</v>
      </c>
      <c r="D5" s="8"/>
    </row>
    <row r="6" customFormat="false" ht="15" hidden="false" customHeight="false" outlineLevel="0" collapsed="false">
      <c r="A6" s="6" t="s">
        <v>7</v>
      </c>
      <c r="C6" s="7" t="s">
        <v>8</v>
      </c>
      <c r="D6" s="9" t="str">
        <f aca="false">VLOOKUP(C6,Reference!$A$5:$C$14,3,FALSE())</f>
        <v>1200 mm</v>
      </c>
    </row>
    <row r="7" customFormat="false" ht="15" hidden="false" customHeight="false" outlineLevel="0" collapsed="false">
      <c r="A7" s="6" t="s">
        <v>9</v>
      </c>
      <c r="C7" s="7" t="s">
        <v>10</v>
      </c>
      <c r="D7" s="9" t="str">
        <f aca="false">VLOOKUP(C7,Reference!$E$5:$G$15,3,FALSE())</f>
        <v>1500 mm</v>
      </c>
    </row>
    <row r="8" customFormat="false" ht="15" hidden="false" customHeight="false" outlineLevel="0" collapsed="false">
      <c r="A8" s="6" t="s">
        <v>11</v>
      </c>
      <c r="C8" s="7" t="s">
        <v>12</v>
      </c>
      <c r="D8" s="9" t="str">
        <f aca="false">VLOOKUP(C8,Reference!$I$5:$K$11,3,FALSE())</f>
        <v>16 mm polycarbonate, opal</v>
      </c>
    </row>
    <row r="9" customFormat="false" ht="15" hidden="false" customHeight="false" outlineLevel="0" collapsed="false">
      <c r="A9" s="6" t="s">
        <v>13</v>
      </c>
      <c r="C9" s="7" t="s">
        <v>14</v>
      </c>
      <c r="D9" s="8"/>
    </row>
    <row r="10" customFormat="false" ht="15" hidden="false" customHeight="false" outlineLevel="0" collapsed="false">
      <c r="A10" s="6" t="s">
        <v>15</v>
      </c>
      <c r="C10" s="7" t="s">
        <v>16</v>
      </c>
      <c r="D10" s="9" t="str">
        <f aca="false">VLOOKUP(C10,Reference!$M$5:$O$9,3,FALSE())</f>
        <v>Thermal release 68 °C</v>
      </c>
    </row>
    <row r="11" customFormat="false" ht="15" hidden="false" customHeight="false" outlineLevel="0" collapsed="false">
      <c r="A11" s="6" t="s">
        <v>17</v>
      </c>
      <c r="C11" s="7" t="s">
        <v>18</v>
      </c>
      <c r="D11" s="8"/>
    </row>
    <row r="12" customFormat="false" ht="15" hidden="false" customHeight="false" outlineLevel="0" collapsed="false">
      <c r="A12" s="6" t="s">
        <v>19</v>
      </c>
      <c r="C12" s="7" t="s">
        <v>20</v>
      </c>
      <c r="D12" s="8"/>
    </row>
    <row r="13" customFormat="false" ht="15" hidden="false" customHeight="false" outlineLevel="0" collapsed="false">
      <c r="A13" s="6" t="s">
        <v>21</v>
      </c>
      <c r="C13" s="7" t="s">
        <v>18</v>
      </c>
      <c r="D13" s="8"/>
    </row>
    <row r="14" customFormat="false" ht="15" hidden="false" customHeight="false" outlineLevel="0" collapsed="false">
      <c r="A14" s="6" t="s">
        <v>22</v>
      </c>
      <c r="C14" s="7" t="s">
        <v>23</v>
      </c>
      <c r="D14" s="8"/>
    </row>
    <row r="15" customFormat="false" ht="15" hidden="false" customHeight="false" outlineLevel="0" collapsed="false">
      <c r="A15" s="6" t="s">
        <v>24</v>
      </c>
      <c r="C15" s="7" t="s">
        <v>25</v>
      </c>
      <c r="D15" s="8"/>
    </row>
    <row r="16" customFormat="false" ht="15" hidden="false" customHeight="false" outlineLevel="0" collapsed="false">
      <c r="A16" s="6" t="s">
        <v>26</v>
      </c>
      <c r="C16" s="7" t="s">
        <v>27</v>
      </c>
      <c r="D16" s="8"/>
    </row>
    <row r="19" customFormat="false" ht="15" hidden="false" customHeight="false" outlineLevel="0" collapsed="false">
      <c r="A19" s="3" t="s">
        <v>28</v>
      </c>
      <c r="B19" s="4"/>
      <c r="C19" s="5" t="s">
        <v>29</v>
      </c>
      <c r="D19" s="5" t="s">
        <v>30</v>
      </c>
    </row>
    <row r="20" customFormat="false" ht="15" hidden="false" customHeight="false" outlineLevel="0" collapsed="false">
      <c r="A20" s="6" t="s">
        <v>31</v>
      </c>
      <c r="C20" s="10" t="n">
        <f aca="false">ROUND((VLOOKUP(C7,Reference!$E$5:$F$15,2,FALSE())-40)/300,0)</f>
        <v>5</v>
      </c>
      <c r="D20" s="11" t="s">
        <v>32</v>
      </c>
    </row>
    <row r="21" customFormat="false" ht="15" hidden="false" customHeight="false" outlineLevel="0" collapsed="false">
      <c r="A21" s="6" t="s">
        <v>33</v>
      </c>
      <c r="C21" s="10" t="n">
        <f aca="false">ROUND((VLOOKUP(C6,Reference!$A$5:$B$14,2,FALSE())*VLOOKUP(C7,Reference!$E$5:$F$15,2,FALSE()))/1000000,2)</f>
        <v>1.8</v>
      </c>
      <c r="D21" s="11" t="s">
        <v>34</v>
      </c>
    </row>
    <row r="22" customFormat="false" ht="15" hidden="false" customHeight="false" outlineLevel="0" collapsed="false">
      <c r="A22" s="6" t="s">
        <v>35</v>
      </c>
      <c r="C22" s="10" t="n">
        <f aca="false">ROUND(((VLOOKUP(C6,Reference!$A$5:$B$14,2,FALSE())*VLOOKUP(C7,Reference!$E$5:$F$15,2,FALSE()))/1000000)*VLOOKUP(C8,Reference!$I$5:$J$11,2,FALSE()),2)</f>
        <v>1.04</v>
      </c>
      <c r="D22" s="11" t="s">
        <v>34</v>
      </c>
    </row>
    <row r="23" customFormat="false" ht="15" hidden="false" customHeight="false" outlineLevel="0" collapsed="false">
      <c r="A23" s="6" t="s">
        <v>36</v>
      </c>
      <c r="C23" s="10" t="n">
        <f aca="false">VLOOKUP(C10,Reference!$M$5:$N$9,2,FALSE())</f>
        <v>68</v>
      </c>
      <c r="D23" s="11" t="s">
        <v>37</v>
      </c>
    </row>
    <row r="24" customFormat="false" ht="15" hidden="false" customHeight="false" outlineLevel="0" collapsed="false">
      <c r="A24" s="6" t="s">
        <v>38</v>
      </c>
      <c r="C24" s="10" t="n">
        <f aca="false">IF(Input!$C$5="Premium",1500,IF(Input!$C$5="FireRated",1200,750))</f>
        <v>750</v>
      </c>
      <c r="D24" s="11" t="s">
        <v>39</v>
      </c>
    </row>
    <row r="25" customFormat="false" ht="15" hidden="false" customHeight="false" outlineLevel="0" collapsed="false">
      <c r="A25" s="6" t="s">
        <v>40</v>
      </c>
      <c r="C25" s="10" t="n">
        <f aca="false">IF(OR(C8="ALU-S",C8="ALU-D",C8="ALU-I"),4000,IF(OR(C8="PC-10",C8="PC-16"),3000,1500))</f>
        <v>3000</v>
      </c>
      <c r="D25" s="11" t="s">
        <v>39</v>
      </c>
    </row>
    <row r="26" customFormat="false" ht="15" hidden="false" customHeight="false" outlineLevel="0" collapsed="false">
      <c r="A26" s="6" t="s">
        <v>41</v>
      </c>
      <c r="C26" s="10" t="n">
        <f aca="false">IF(OR(C9="Pneumatic"),IF(VLOOKUP(C6,Reference!$A$5:$B$14,2,FALSE())&gt;=1800,9.8,IF(VLOOKUP(C6,Reference!$A$5:$B$14,2,FALSE())&gt;=1400,4.9,2)),"n/a")</f>
        <v>2</v>
      </c>
      <c r="D26" s="11" t="s">
        <v>42</v>
      </c>
    </row>
    <row r="27" customFormat="false" ht="15" hidden="false" customHeight="false" outlineLevel="0" collapsed="false">
      <c r="A27" s="6" t="s">
        <v>43</v>
      </c>
      <c r="C27" s="10" t="str">
        <f aca="false">IF(AND(C9="Pneumatic",VLOOKUP(C10,Reference!$M$5:$N$9,2,FALSE())&gt;0),IF(VLOOKUP(C6,Reference!$A$5:$B$14,2,FALSE())&gt;=1800,"40g",IF(VLOOKUP(C10,Reference!$M$5:$N$9,2,FALSE())&gt;=141,"28g","20g")),"none")</f>
        <v>20g</v>
      </c>
      <c r="D27" s="11" t="s">
        <v>44</v>
      </c>
    </row>
    <row r="28" customFormat="false" ht="15" hidden="false" customHeight="false" outlineLevel="0" collapsed="false">
      <c r="A28" s="6" t="s">
        <v>45</v>
      </c>
      <c r="C28" s="10" t="n">
        <f aca="false">IF(C11="Insulated",VLOOKUP(C8,Reference!$Q$5:$S$11,3,FALSE()),VLOOKUP(C8,Reference!$Q$5:$S$11,2,FALSE()))</f>
        <v>3.4</v>
      </c>
      <c r="D28" s="11" t="s">
        <v>46</v>
      </c>
    </row>
    <row r="29" customFormat="false" ht="15" hidden="false" customHeight="false" outlineLevel="0" collapsed="false">
      <c r="A29" s="6" t="s">
        <v>47</v>
      </c>
      <c r="C29" s="10" t="n">
        <f aca="false">ROUND(((VLOOKUP(C6,Reference!$A$5:$B$14,2,FALSE())*VLOOKUP(C7,Reference!$E$5:$F$15,2,FALSE()))/1000000)*IF(OR(C8="GLS-T",C8="GLS-L"),42,IF(C11="Insulated",26,18))+IF(C9="Manual",4,9),0)</f>
        <v>41</v>
      </c>
      <c r="D29" s="11" t="s">
        <v>48</v>
      </c>
    </row>
    <row r="32" customFormat="false" ht="15" hidden="false" customHeight="false" outlineLevel="0" collapsed="false">
      <c r="A32" s="3" t="s">
        <v>49</v>
      </c>
      <c r="B32" s="4"/>
      <c r="C32" s="12" t="str">
        <f aca="false">IF(Validation!C17,"OK","CHECK RULES")</f>
        <v>OK</v>
      </c>
      <c r="D32" s="2" t="s">
        <v>50</v>
      </c>
    </row>
    <row r="34" customFormat="false" ht="15" hidden="false" customHeight="false" outlineLevel="0" collapsed="false">
      <c r="A34" s="13" t="s">
        <v>51</v>
      </c>
      <c r="B34" s="14" t="s">
        <v>52</v>
      </c>
      <c r="C34" s="15" t="s">
        <v>53</v>
      </c>
    </row>
  </sheetData>
  <dataValidations count="12">
    <dataValidation allowBlank="false" errorStyle="stop" operator="between" showDropDown="false" showErrorMessage="false" showInputMessage="false" sqref="C5" type="list">
      <formula1>Reference!$A$22:$A$24</formula1>
      <formula2>0</formula2>
    </dataValidation>
    <dataValidation allowBlank="false" errorStyle="stop" operator="between" showDropDown="false" showErrorMessage="false" showInputMessage="false" sqref="C9" type="list">
      <formula1>Reference!$B$22:$B$25</formula1>
      <formula2>0</formula2>
    </dataValidation>
    <dataValidation allowBlank="false" errorStyle="stop" operator="between" showDropDown="false" showErrorMessage="false" showInputMessage="false" sqref="C11" type="list">
      <formula1>Reference!$C$22:$C$23</formula1>
      <formula2>0</formula2>
    </dataValidation>
    <dataValidation allowBlank="false" errorStyle="stop" operator="between" showDropDown="false" showErrorMessage="false" showInputMessage="false" sqref="C12" type="list">
      <formula1>Reference!$D$22:$D$24</formula1>
      <formula2>0</formula2>
    </dataValidation>
    <dataValidation allowBlank="false" errorStyle="stop" operator="between" showDropDown="false" showErrorMessage="false" showInputMessage="false" sqref="C13" type="list">
      <formula1>Reference!$E$22:$E$24</formula1>
      <formula2>0</formula2>
    </dataValidation>
    <dataValidation allowBlank="false" errorStyle="stop" operator="between" showDropDown="false" showErrorMessage="false" showInputMessage="false" sqref="C14" type="list">
      <formula1>Reference!$F$22:$F$23</formula1>
      <formula2>0</formula2>
    </dataValidation>
    <dataValidation allowBlank="false" errorStyle="stop" operator="between" showDropDown="false" showErrorMessage="false" showInputMessage="false" sqref="C15" type="list">
      <formula1>Reference!$G$22:$G$23</formula1>
      <formula2>0</formula2>
    </dataValidation>
    <dataValidation allowBlank="false" errorStyle="stop" operator="between" showDropDown="false" showErrorMessage="false" showInputMessage="false" sqref="C16" type="list">
      <formula1>Reference!$H$22:$H$23</formula1>
      <formula2>0</formula2>
    </dataValidation>
    <dataValidation allowBlank="false" errorStyle="stop" operator="between" showDropDown="false" showErrorMessage="false" showInputMessage="false" sqref="C6" type="list">
      <formula1>Reference!$A$5:$A$14</formula1>
      <formula2>0</formula2>
    </dataValidation>
    <dataValidation allowBlank="false" errorStyle="stop" operator="between" showDropDown="false" showErrorMessage="false" showInputMessage="false" sqref="C7" type="list">
      <formula1>Reference!$E$5:$E$15</formula1>
      <formula2>0</formula2>
    </dataValidation>
    <dataValidation allowBlank="false" errorStyle="stop" operator="between" showDropDown="false" showErrorMessage="false" showInputMessage="false" sqref="C8" type="list">
      <formula1>Reference!$I$5:$I$11</formula1>
      <formula2>0</formula2>
    </dataValidation>
    <dataValidation allowBlank="false" errorStyle="stop" operator="between" showDropDown="false" showErrorMessage="false" showInputMessage="false" sqref="C10" type="list">
      <formula1>Reference!$M$5:$M$9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3"/>
  </cols>
  <sheetData>
    <row r="1" customFormat="false" ht="19.7" hidden="false" customHeight="false" outlineLevel="0" collapsed="false">
      <c r="A1" s="1" t="s">
        <v>54</v>
      </c>
    </row>
    <row r="3" customFormat="false" ht="15" hidden="false" customHeight="false" outlineLevel="0" collapsed="false">
      <c r="A3" s="16" t="s">
        <v>55</v>
      </c>
      <c r="E3" s="16" t="s">
        <v>56</v>
      </c>
      <c r="I3" s="16" t="s">
        <v>57</v>
      </c>
      <c r="M3" s="16" t="s">
        <v>58</v>
      </c>
      <c r="Q3" s="16" t="s">
        <v>59</v>
      </c>
    </row>
    <row r="4" customFormat="false" ht="15" hidden="false" customHeight="false" outlineLevel="0" collapsed="false">
      <c r="A4" s="17" t="s">
        <v>60</v>
      </c>
      <c r="B4" s="17" t="s">
        <v>61</v>
      </c>
      <c r="C4" s="17" t="s">
        <v>62</v>
      </c>
      <c r="E4" s="17" t="s">
        <v>60</v>
      </c>
      <c r="F4" s="17" t="s">
        <v>61</v>
      </c>
      <c r="G4" s="17" t="s">
        <v>62</v>
      </c>
      <c r="I4" s="17" t="s">
        <v>60</v>
      </c>
      <c r="J4" s="17" t="s">
        <v>63</v>
      </c>
      <c r="K4" s="17" t="s">
        <v>62</v>
      </c>
      <c r="M4" s="17" t="s">
        <v>60</v>
      </c>
      <c r="N4" s="17" t="s">
        <v>64</v>
      </c>
      <c r="O4" s="17" t="s">
        <v>62</v>
      </c>
      <c r="Q4" s="17" t="s">
        <v>65</v>
      </c>
      <c r="R4" s="17" t="s">
        <v>66</v>
      </c>
      <c r="S4" s="17" t="s">
        <v>67</v>
      </c>
    </row>
    <row r="5" customFormat="false" ht="15" hidden="false" customHeight="false" outlineLevel="0" collapsed="false">
      <c r="A5" s="0" t="s">
        <v>68</v>
      </c>
      <c r="B5" s="0" t="n">
        <v>400</v>
      </c>
      <c r="C5" s="0" t="s">
        <v>69</v>
      </c>
      <c r="E5" s="0" t="s">
        <v>70</v>
      </c>
      <c r="F5" s="0" t="n">
        <v>600</v>
      </c>
      <c r="G5" s="0" t="s">
        <v>71</v>
      </c>
      <c r="I5" s="0" t="s">
        <v>72</v>
      </c>
      <c r="J5" s="0" t="n">
        <v>0.62</v>
      </c>
      <c r="K5" s="0" t="s">
        <v>73</v>
      </c>
      <c r="M5" s="0" t="s">
        <v>74</v>
      </c>
      <c r="N5" s="0" t="n">
        <v>0</v>
      </c>
      <c r="O5" s="0" t="s">
        <v>75</v>
      </c>
      <c r="Q5" s="0" t="s">
        <v>72</v>
      </c>
      <c r="R5" s="0" t="n">
        <v>5.5</v>
      </c>
      <c r="S5" s="0" t="n">
        <v>2.4</v>
      </c>
    </row>
    <row r="6" customFormat="false" ht="15" hidden="false" customHeight="false" outlineLevel="0" collapsed="false">
      <c r="A6" s="0" t="s">
        <v>76</v>
      </c>
      <c r="B6" s="0" t="n">
        <v>600</v>
      </c>
      <c r="C6" s="0" t="s">
        <v>71</v>
      </c>
      <c r="E6" s="0" t="s">
        <v>77</v>
      </c>
      <c r="F6" s="0" t="n">
        <v>900</v>
      </c>
      <c r="G6" s="0" t="s">
        <v>78</v>
      </c>
      <c r="I6" s="0" t="s">
        <v>79</v>
      </c>
      <c r="J6" s="0" t="n">
        <v>0.66</v>
      </c>
      <c r="K6" s="0" t="s">
        <v>80</v>
      </c>
      <c r="M6" s="0" t="s">
        <v>16</v>
      </c>
      <c r="N6" s="0" t="n">
        <v>68</v>
      </c>
      <c r="O6" s="0" t="s">
        <v>81</v>
      </c>
      <c r="Q6" s="0" t="s">
        <v>79</v>
      </c>
      <c r="R6" s="0" t="n">
        <v>4.6</v>
      </c>
      <c r="S6" s="0" t="n">
        <v>2.3</v>
      </c>
    </row>
    <row r="7" customFormat="false" ht="15" hidden="false" customHeight="false" outlineLevel="0" collapsed="false">
      <c r="A7" s="0" t="s">
        <v>82</v>
      </c>
      <c r="B7" s="0" t="n">
        <v>800</v>
      </c>
      <c r="C7" s="0" t="s">
        <v>83</v>
      </c>
      <c r="E7" s="0" t="s">
        <v>84</v>
      </c>
      <c r="F7" s="0" t="n">
        <v>1200</v>
      </c>
      <c r="G7" s="0" t="s">
        <v>85</v>
      </c>
      <c r="I7" s="0" t="s">
        <v>86</v>
      </c>
      <c r="J7" s="0" t="n">
        <v>0.71</v>
      </c>
      <c r="K7" s="0" t="s">
        <v>87</v>
      </c>
      <c r="M7" s="0" t="s">
        <v>88</v>
      </c>
      <c r="N7" s="0" t="n">
        <v>93</v>
      </c>
      <c r="O7" s="0" t="s">
        <v>89</v>
      </c>
      <c r="Q7" s="0" t="s">
        <v>86</v>
      </c>
      <c r="R7" s="0" t="n">
        <v>1.9</v>
      </c>
      <c r="S7" s="0" t="n">
        <v>1.4</v>
      </c>
    </row>
    <row r="8" customFormat="false" ht="15" hidden="false" customHeight="false" outlineLevel="0" collapsed="false">
      <c r="A8" s="0" t="s">
        <v>90</v>
      </c>
      <c r="B8" s="0" t="n">
        <v>1000</v>
      </c>
      <c r="C8" s="0" t="s">
        <v>91</v>
      </c>
      <c r="E8" s="0" t="s">
        <v>10</v>
      </c>
      <c r="F8" s="0" t="n">
        <v>1500</v>
      </c>
      <c r="G8" s="0" t="s">
        <v>92</v>
      </c>
      <c r="I8" s="0" t="s">
        <v>93</v>
      </c>
      <c r="J8" s="0" t="n">
        <v>0.6</v>
      </c>
      <c r="K8" s="0" t="s">
        <v>94</v>
      </c>
      <c r="M8" s="0" t="s">
        <v>95</v>
      </c>
      <c r="N8" s="0" t="n">
        <v>141</v>
      </c>
      <c r="O8" s="0" t="s">
        <v>96</v>
      </c>
      <c r="Q8" s="0" t="s">
        <v>93</v>
      </c>
      <c r="R8" s="0" t="n">
        <v>5.7</v>
      </c>
      <c r="S8" s="0" t="n">
        <v>2.5</v>
      </c>
    </row>
    <row r="9" customFormat="false" ht="15" hidden="false" customHeight="false" outlineLevel="0" collapsed="false">
      <c r="A9" s="0" t="s">
        <v>8</v>
      </c>
      <c r="B9" s="0" t="n">
        <v>1200</v>
      </c>
      <c r="C9" s="0" t="s">
        <v>85</v>
      </c>
      <c r="E9" s="0" t="s">
        <v>97</v>
      </c>
      <c r="F9" s="0" t="n">
        <v>1800</v>
      </c>
      <c r="G9" s="0" t="s">
        <v>98</v>
      </c>
      <c r="I9" s="0" t="s">
        <v>12</v>
      </c>
      <c r="J9" s="0" t="n">
        <v>0.58</v>
      </c>
      <c r="K9" s="0" t="s">
        <v>99</v>
      </c>
      <c r="M9" s="0" t="s">
        <v>100</v>
      </c>
      <c r="N9" s="0" t="n">
        <v>182</v>
      </c>
      <c r="O9" s="0" t="s">
        <v>101</v>
      </c>
      <c r="Q9" s="0" t="s">
        <v>12</v>
      </c>
      <c r="R9" s="0" t="n">
        <v>3.4</v>
      </c>
      <c r="S9" s="0" t="n">
        <v>2</v>
      </c>
    </row>
    <row r="10" customFormat="false" ht="15" hidden="false" customHeight="false" outlineLevel="0" collapsed="false">
      <c r="A10" s="0" t="s">
        <v>102</v>
      </c>
      <c r="B10" s="0" t="n">
        <v>1400</v>
      </c>
      <c r="C10" s="0" t="s">
        <v>103</v>
      </c>
      <c r="E10" s="0" t="s">
        <v>104</v>
      </c>
      <c r="F10" s="0" t="n">
        <v>2100</v>
      </c>
      <c r="G10" s="0" t="s">
        <v>105</v>
      </c>
      <c r="I10" s="0" t="s">
        <v>106</v>
      </c>
      <c r="J10" s="0" t="n">
        <v>0.57</v>
      </c>
      <c r="K10" s="0" t="s">
        <v>107</v>
      </c>
      <c r="Q10" s="0" t="s">
        <v>106</v>
      </c>
      <c r="R10" s="0" t="n">
        <v>3.9</v>
      </c>
      <c r="S10" s="0" t="n">
        <v>2.1</v>
      </c>
    </row>
    <row r="11" customFormat="false" ht="15" hidden="false" customHeight="false" outlineLevel="0" collapsed="false">
      <c r="A11" s="0" t="s">
        <v>108</v>
      </c>
      <c r="B11" s="0" t="n">
        <v>1600</v>
      </c>
      <c r="C11" s="0" t="s">
        <v>109</v>
      </c>
      <c r="E11" s="0" t="s">
        <v>110</v>
      </c>
      <c r="F11" s="0" t="n">
        <v>2400</v>
      </c>
      <c r="G11" s="0" t="s">
        <v>111</v>
      </c>
      <c r="I11" s="0" t="s">
        <v>112</v>
      </c>
      <c r="J11" s="0" t="n">
        <v>0.55</v>
      </c>
      <c r="K11" s="0" t="s">
        <v>113</v>
      </c>
      <c r="Q11" s="0" t="s">
        <v>112</v>
      </c>
      <c r="R11" s="0" t="n">
        <v>3.9</v>
      </c>
      <c r="S11" s="0" t="n">
        <v>2.1</v>
      </c>
    </row>
    <row r="12" customFormat="false" ht="15" hidden="false" customHeight="false" outlineLevel="0" collapsed="false">
      <c r="A12" s="0" t="s">
        <v>114</v>
      </c>
      <c r="B12" s="0" t="n">
        <v>1800</v>
      </c>
      <c r="C12" s="0" t="s">
        <v>98</v>
      </c>
      <c r="E12" s="0" t="s">
        <v>115</v>
      </c>
      <c r="F12" s="0" t="n">
        <v>2700</v>
      </c>
      <c r="G12" s="0" t="s">
        <v>116</v>
      </c>
    </row>
    <row r="13" customFormat="false" ht="15" hidden="false" customHeight="false" outlineLevel="0" collapsed="false">
      <c r="A13" s="0" t="s">
        <v>117</v>
      </c>
      <c r="B13" s="0" t="n">
        <v>2000</v>
      </c>
      <c r="C13" s="0" t="s">
        <v>118</v>
      </c>
      <c r="E13" s="0" t="s">
        <v>119</v>
      </c>
      <c r="F13" s="0" t="n">
        <v>3000</v>
      </c>
      <c r="G13" s="0" t="s">
        <v>120</v>
      </c>
    </row>
    <row r="14" customFormat="false" ht="15" hidden="false" customHeight="false" outlineLevel="0" collapsed="false">
      <c r="A14" s="0" t="s">
        <v>121</v>
      </c>
      <c r="B14" s="0" t="n">
        <v>2200</v>
      </c>
      <c r="C14" s="0" t="s">
        <v>122</v>
      </c>
      <c r="E14" s="0" t="s">
        <v>123</v>
      </c>
      <c r="F14" s="0" t="n">
        <v>3300</v>
      </c>
      <c r="G14" s="0" t="s">
        <v>124</v>
      </c>
    </row>
    <row r="15" customFormat="false" ht="15" hidden="false" customHeight="false" outlineLevel="0" collapsed="false">
      <c r="E15" s="0" t="s">
        <v>125</v>
      </c>
      <c r="F15" s="0" t="n">
        <v>3600</v>
      </c>
      <c r="G15" s="0" t="s">
        <v>126</v>
      </c>
    </row>
    <row r="20" customFormat="false" ht="15" hidden="false" customHeight="false" outlineLevel="0" collapsed="false">
      <c r="A20" s="16" t="s">
        <v>127</v>
      </c>
    </row>
    <row r="21" customFormat="false" ht="15" hidden="false" customHeight="false" outlineLevel="0" collapsed="false">
      <c r="A21" s="13" t="s">
        <v>5</v>
      </c>
      <c r="B21" s="13" t="s">
        <v>13</v>
      </c>
      <c r="C21" s="13" t="s">
        <v>17</v>
      </c>
      <c r="D21" s="13" t="s">
        <v>128</v>
      </c>
      <c r="E21" s="13" t="s">
        <v>21</v>
      </c>
      <c r="F21" s="13" t="s">
        <v>22</v>
      </c>
      <c r="G21" s="13" t="s">
        <v>24</v>
      </c>
      <c r="H21" s="13" t="s">
        <v>129</v>
      </c>
    </row>
    <row r="22" customFormat="false" ht="15" hidden="false" customHeight="false" outlineLevel="0" collapsed="false">
      <c r="A22" s="0" t="s">
        <v>6</v>
      </c>
      <c r="B22" s="0" t="s">
        <v>130</v>
      </c>
      <c r="C22" s="0" t="s">
        <v>18</v>
      </c>
      <c r="D22" s="0" t="s">
        <v>20</v>
      </c>
      <c r="E22" s="0" t="s">
        <v>18</v>
      </c>
      <c r="F22" s="0" t="s">
        <v>23</v>
      </c>
      <c r="G22" s="0" t="s">
        <v>25</v>
      </c>
      <c r="H22" s="0" t="s">
        <v>27</v>
      </c>
    </row>
    <row r="23" customFormat="false" ht="15" hidden="false" customHeight="false" outlineLevel="0" collapsed="false">
      <c r="A23" s="0" t="s">
        <v>131</v>
      </c>
      <c r="B23" s="0" t="s">
        <v>14</v>
      </c>
      <c r="C23" s="0" t="s">
        <v>132</v>
      </c>
      <c r="D23" s="0" t="s">
        <v>133</v>
      </c>
      <c r="E23" s="0" t="s">
        <v>134</v>
      </c>
      <c r="F23" s="0" t="s">
        <v>135</v>
      </c>
      <c r="G23" s="0" t="s">
        <v>136</v>
      </c>
      <c r="H23" s="0" t="s">
        <v>137</v>
      </c>
    </row>
    <row r="24" customFormat="false" ht="15" hidden="false" customHeight="false" outlineLevel="0" collapsed="false">
      <c r="A24" s="0" t="s">
        <v>138</v>
      </c>
      <c r="B24" s="0" t="s">
        <v>139</v>
      </c>
      <c r="D24" s="0" t="s">
        <v>140</v>
      </c>
      <c r="E24" s="0" t="s">
        <v>141</v>
      </c>
    </row>
    <row r="25" customFormat="false" ht="15" hidden="false" customHeight="false" outlineLevel="0" collapsed="false">
      <c r="B25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10"/>
  </cols>
  <sheetData>
    <row r="1" customFormat="false" ht="19.7" hidden="false" customHeight="false" outlineLevel="0" collapsed="false">
      <c r="A1" s="1" t="s">
        <v>143</v>
      </c>
    </row>
    <row r="3" customFormat="false" ht="15" hidden="false" customHeight="false" outlineLevel="0" collapsed="false">
      <c r="A3" s="17" t="s">
        <v>144</v>
      </c>
      <c r="B3" s="17" t="s">
        <v>145</v>
      </c>
      <c r="C3" s="17" t="s">
        <v>146</v>
      </c>
    </row>
    <row r="4" customFormat="false" ht="15" hidden="false" customHeight="false" outlineLevel="0" collapsed="false">
      <c r="A4" s="18" t="n">
        <v>1</v>
      </c>
      <c r="B4" s="18" t="s">
        <v>147</v>
      </c>
      <c r="C4" s="19" t="b">
        <f aca="false">IF(AND(Input!$C$13&lt;&gt;"None",Input!$C$5&lt;&gt;"Premium"),FALSE(),TRUE())</f>
        <v>1</v>
      </c>
    </row>
    <row r="5" customFormat="false" ht="15" hidden="false" customHeight="false" outlineLevel="0" collapsed="false">
      <c r="A5" s="18" t="n">
        <v>2</v>
      </c>
      <c r="B5" s="18" t="s">
        <v>148</v>
      </c>
      <c r="C5" s="19" t="b">
        <f aca="false">IF(AND(Input!$C$8="ALU-I",Input!$C$11&lt;&gt;"Insulated"),FALSE(),TRUE())</f>
        <v>1</v>
      </c>
    </row>
    <row r="6" customFormat="false" ht="15" hidden="false" customHeight="false" outlineLevel="0" collapsed="false">
      <c r="A6" s="18" t="n">
        <v>3</v>
      </c>
      <c r="B6" s="18" t="s">
        <v>149</v>
      </c>
      <c r="C6" s="19" t="b">
        <f aca="false">IF(AND(Input!$C$11="Insulated",NOT(OR(Input!$C$8="ALU-I",Input!$C$8="PC-16",Input!$C$8="GLS-L"))),FALSE(),TRUE())</f>
        <v>1</v>
      </c>
    </row>
    <row r="7" customFormat="false" ht="15" hidden="false" customHeight="false" outlineLevel="0" collapsed="false">
      <c r="A7" s="18" t="n">
        <v>4</v>
      </c>
      <c r="B7" s="18" t="s">
        <v>150</v>
      </c>
      <c r="C7" s="19" t="b">
        <f aca="false">IF(AND(Input!$C$5="FireRated",Input!$C$10="RX"),FALSE(),TRUE())</f>
        <v>1</v>
      </c>
    </row>
    <row r="8" customFormat="false" ht="15" hidden="false" customHeight="false" outlineLevel="0" collapsed="false">
      <c r="A8" s="18" t="n">
        <v>5</v>
      </c>
      <c r="B8" s="18" t="s">
        <v>151</v>
      </c>
      <c r="C8" s="19" t="b">
        <f aca="false">IF(AND(Input!$C$5="FireRated",Input!$C$15="Wall"),FALSE(),TRUE())</f>
        <v>1</v>
      </c>
    </row>
    <row r="9" customFormat="false" ht="15" hidden="false" customHeight="false" outlineLevel="0" collapsed="false">
      <c r="A9" s="18" t="n">
        <v>6</v>
      </c>
      <c r="B9" s="18" t="s">
        <v>152</v>
      </c>
      <c r="C9" s="19" t="b">
        <f aca="false">IF(AND(Input!$C$15="Wall",Input!$C$12&lt;&gt;"Flat"),FALSE(),TRUE())</f>
        <v>1</v>
      </c>
    </row>
    <row r="10" customFormat="false" ht="15" hidden="false" customHeight="false" outlineLevel="0" collapsed="false">
      <c r="A10" s="18" t="n">
        <v>7</v>
      </c>
      <c r="B10" s="18" t="s">
        <v>153</v>
      </c>
      <c r="C10" s="19" t="b">
        <f aca="false">IF(AND(OR(Input!$C$8="GLS-T",Input!$C$8="GLS-L"),VLOOKUP(Input!$C$6,Reference!$A$5:$B$14,2,FALSE())&gt;1800),FALSE(),TRUE())</f>
        <v>1</v>
      </c>
    </row>
    <row r="11" customFormat="false" ht="15" hidden="false" customHeight="false" outlineLevel="0" collapsed="false">
      <c r="A11" s="18" t="n">
        <v>8</v>
      </c>
      <c r="B11" s="18" t="s">
        <v>154</v>
      </c>
      <c r="C11" s="19" t="b">
        <f aca="false">IF(AND(Input!$C$9="Manual",VLOOKUP(Input!$C$6,Reference!$A$5:$B$14,2,FALSE())&gt;=2000),FALSE(),TRUE())</f>
        <v>1</v>
      </c>
    </row>
    <row r="12" customFormat="false" ht="15" hidden="false" customHeight="false" outlineLevel="0" collapsed="false">
      <c r="A12" s="18" t="n">
        <v>9</v>
      </c>
      <c r="B12" s="18" t="s">
        <v>155</v>
      </c>
      <c r="C12" s="19" t="b">
        <f aca="false">IF(AND(Input!$C$14="PowderCoat",Input!$C$5&lt;&gt;"Premium"),FALSE(),TRUE())</f>
        <v>1</v>
      </c>
    </row>
    <row r="13" customFormat="false" ht="15" hidden="false" customHeight="false" outlineLevel="0" collapsed="false">
      <c r="A13" s="18" t="n">
        <v>10</v>
      </c>
      <c r="B13" s="18" t="s">
        <v>156</v>
      </c>
      <c r="C13" s="19" t="b">
        <f aca="false">IF(AND(Input!$C$16="Yes",VLOOKUP(Input!$C$7,Reference!$E$5:$F$15,2,FALSE())&lt;2400),FALSE(),TRUE())</f>
        <v>1</v>
      </c>
    </row>
    <row r="14" customFormat="false" ht="15" hidden="false" customHeight="false" outlineLevel="0" collapsed="false">
      <c r="A14" s="18" t="n">
        <v>11</v>
      </c>
      <c r="B14" s="18" t="s">
        <v>157</v>
      </c>
      <c r="C14" s="19" t="b">
        <f aca="false">IF(AND(Input!$C$9="Electric230V",Input!$C$5="Standard"),FALSE(),TRUE())</f>
        <v>1</v>
      </c>
    </row>
    <row r="15" customFormat="false" ht="15" hidden="false" customHeight="false" outlineLevel="0" collapsed="false">
      <c r="A15" s="18" t="n">
        <v>12</v>
      </c>
      <c r="B15" s="18" t="s">
        <v>158</v>
      </c>
      <c r="C15" s="19" t="b">
        <f aca="false">IF(AND(Input!$C$13="BirdGuard",Input!$C$12="Flat"),FALSE(),TRUE())</f>
        <v>1</v>
      </c>
    </row>
    <row r="17" customFormat="false" ht="15" hidden="false" customHeight="false" outlineLevel="0" collapsed="false">
      <c r="B17" s="16" t="s">
        <v>159</v>
      </c>
      <c r="C17" s="20" t="b">
        <f aca="false">IF(COUNTIF(C4:C15,FALSE())=0,TRUE(),FALSE())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CB672AF67F44D950DBE54A5A52241" ma:contentTypeVersion="17" ma:contentTypeDescription="Create a new document." ma:contentTypeScope="" ma:versionID="1757fad67ccba543cf071e268e2ef806">
  <xsd:schema xmlns:xsd="http://www.w3.org/2001/XMLSchema" xmlns:xs="http://www.w3.org/2001/XMLSchema" xmlns:p="http://schemas.microsoft.com/office/2006/metadata/properties" xmlns:ns2="05e8a59d-3a81-4b74-849a-9f125a18a5d5" xmlns:ns3="52217aa2-56c0-4537-a16b-21b948960df3" targetNamespace="http://schemas.microsoft.com/office/2006/metadata/properties" ma:root="true" ma:fieldsID="3406f66a34ebb4d667a2549e1a052923" ns2:_="" ns3:_="">
    <xsd:import namespace="05e8a59d-3a81-4b74-849a-9f125a18a5d5"/>
    <xsd:import namespace="52217aa2-56c0-4537-a16b-21b948960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8a59d-3a81-4b74-849a-9f125a18a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b3f3f-e5a1-4961-851f-eb29f9d0b8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17aa2-56c0-4537-a16b-21b948960d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17214b-65a8-4a4a-8087-04c3d591675e}" ma:internalName="TaxCatchAll" ma:showField="CatchAllData" ma:web="52217aa2-56c0-4537-a16b-21b948960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e8a59d-3a81-4b74-849a-9f125a18a5d5">
      <Terms xmlns="http://schemas.microsoft.com/office/infopath/2007/PartnerControls"/>
    </lcf76f155ced4ddcb4097134ff3c332f>
    <Status xmlns="05e8a59d-3a81-4b74-849a-9f125a18a5d5" xsi:nil="true"/>
    <TaxCatchAll xmlns="52217aa2-56c0-4537-a16b-21b948960df3" xsi:nil="true"/>
  </documentManagement>
</p:properties>
</file>

<file path=customXml/itemProps1.xml><?xml version="1.0" encoding="utf-8"?>
<ds:datastoreItem xmlns:ds="http://schemas.openxmlformats.org/officeDocument/2006/customXml" ds:itemID="{30815B6E-EEF7-4061-81B0-6114886D38E7}"/>
</file>

<file path=customXml/itemProps2.xml><?xml version="1.0" encoding="utf-8"?>
<ds:datastoreItem xmlns:ds="http://schemas.openxmlformats.org/officeDocument/2006/customXml" ds:itemID="{2B49D018-8277-4FED-815C-7E0F0BF1CF23}"/>
</file>

<file path=customXml/itemProps3.xml><?xml version="1.0" encoding="utf-8"?>
<ds:datastoreItem xmlns:ds="http://schemas.openxmlformats.org/officeDocument/2006/customXml" ds:itemID="{B7ACE094-54E7-45D0-8B36-C3E4EA95BB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2026-08-19T11:22:28Z</dcterms:created>
  <dcterms:modified xsi:type="dcterms:W3CDTF">2026-08-19T11:22:28Z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0x0101000C5CB672AF67F44D950DBE54A5A52241</vt:lpwstr>
  </property>
</Properties>
</file>